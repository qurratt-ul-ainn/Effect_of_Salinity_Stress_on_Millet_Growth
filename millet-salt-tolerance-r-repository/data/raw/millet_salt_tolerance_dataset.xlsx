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MLS\Downloads\"/>
    </mc:Choice>
  </mc:AlternateContent>
  <xr:revisionPtr revIDLastSave="0" documentId="13_ncr:1_{113B5D41-9B26-4769-B376-3F7C9CD20C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ynthetic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<sst xmlns="http://schemas.openxmlformats.org/spreadsheetml/2006/main" count="64" uniqueCount="44">
  <si>
    <t>Pot_ID</t>
  </si>
  <si>
    <t>Treatment</t>
  </si>
  <si>
    <t>Salinity_Level</t>
  </si>
  <si>
    <t>Target_EC_dS_m</t>
  </si>
  <si>
    <t>Replication</t>
  </si>
  <si>
    <t>Soil_per_Pot_kg</t>
  </si>
  <si>
    <t>NaCl_per_Pot_g_if_EC10</t>
  </si>
  <si>
    <t>Seeds_Sown</t>
  </si>
  <si>
    <t>Plants_Emerged</t>
  </si>
  <si>
    <t>Emergence_pct</t>
  </si>
  <si>
    <t>Plant_Height_cm</t>
  </si>
  <si>
    <t>Leaves_per_Plant</t>
  </si>
  <si>
    <t>Root_Length_cm</t>
  </si>
  <si>
    <t>Shoot_Fresh_Weight_g</t>
  </si>
  <si>
    <t>Shoot_Dry_Weight_g</t>
  </si>
  <si>
    <t>Root_Fresh_Weight_g</t>
  </si>
  <si>
    <t>Root_Dry_Weight_g</t>
  </si>
  <si>
    <t>Total_Dry_Biomass_g</t>
  </si>
  <si>
    <t>Relative_Growth_pct</t>
  </si>
  <si>
    <t>T0R1</t>
  </si>
  <si>
    <t>T0</t>
  </si>
  <si>
    <t>Control</t>
  </si>
  <si>
    <t>T0R2</t>
  </si>
  <si>
    <t>T0R3</t>
  </si>
  <si>
    <t>T1R1</t>
  </si>
  <si>
    <t>T1</t>
  </si>
  <si>
    <t>Low salinity</t>
  </si>
  <si>
    <t>T1R2</t>
  </si>
  <si>
    <t>T1R3</t>
  </si>
  <si>
    <t>T2R1</t>
  </si>
  <si>
    <t>T2</t>
  </si>
  <si>
    <t>Moderate salinity</t>
  </si>
  <si>
    <t>T2R2</t>
  </si>
  <si>
    <t>T2R3</t>
  </si>
  <si>
    <t>T3R1</t>
  </si>
  <si>
    <t>T3</t>
  </si>
  <si>
    <t>High salinity</t>
  </si>
  <si>
    <t>T3R2</t>
  </si>
  <si>
    <t>T3R3</t>
  </si>
  <si>
    <t>T4R1</t>
  </si>
  <si>
    <t>T4</t>
  </si>
  <si>
    <t>Severe salinity</t>
  </si>
  <si>
    <t>T4R2</t>
  </si>
  <si>
    <t>T4R3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</si>
</sst>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4.5" x14ac:dyDescent="0.35"/>
  <cols>
    <col min="1" max="2" width="12" customWidth="1"/>
    <col min="3" max="3" width="19" customWidth="1"/>
    <col min="4" max="4" width="16" customWidth="1"/>
    <col min="5" max="5" width="13" customWidth="1"/>
    <col min="6" max="6" width="17" customWidth="1"/>
    <col min="7" max="7" width="24" customWidth="1"/>
    <col min="8" max="8" width="12" customWidth="1"/>
    <col min="9" max="9" width="16" customWidth="1"/>
    <col min="10" max="10" width="15" customWidth="1"/>
    <col min="11" max="11" width="17" customWidth="1"/>
    <col min="12" max="12" width="18" customWidth="1"/>
    <col min="13" max="13" width="16" customWidth="1"/>
    <col min="14" max="14" width="22" customWidth="1"/>
    <col min="15" max="15" width="20" customWidth="1"/>
    <col min="16" max="16" width="21" customWidth="1"/>
    <col min="17" max="17" width="19" customWidth="1"/>
    <col min="18" max="19" width="2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s="2" t="s">
        <v>20</v>
      </c>
      <c r="C2" s="2" t="s">
        <v>21</v>
      </c>
      <c r="D2" s="2">
        <v>1</v>
      </c>
      <c r="E2" s="2">
        <v>1</v>
      </c>
      <c r="F2" s="2">
        <v>10</v>
      </c>
      <c r="G2" s="2">
        <f>((D2*10)*58*30/100000)*F2</f>
        <v>1.7399999999999998</v>
      </c>
      <c r="H2" s="2">
        <v>3</v>
      </c>
      <c r="I2" s="2">
        <v>3</v>
      </c>
      <c r="J2" s="2">
        <v>99.6</v>
      </c>
      <c r="K2" s="2">
        <v>41.7</v>
      </c>
      <c r="L2" s="2">
        <v>10</v>
      </c>
      <c r="M2" s="2">
        <v>24.8</v>
      </c>
      <c r="N2" s="2">
        <v>17.87</v>
      </c>
      <c r="O2" s="2">
        <v>3.83</v>
      </c>
      <c r="P2" s="2">
        <v>7.15</v>
      </c>
      <c r="Q2" s="2">
        <v>1.67</v>
      </c>
      <c r="R2" s="2">
        <v>5.5</v>
      </c>
      <c r="S2" s="2">
        <v>93.2</v>
      </c>
    </row>
    <row r="3" spans="1:19" x14ac:dyDescent="0.35">
      <c r="A3" s="2" t="s">
        <v>22</v>
      </c>
      <c r="B3" s="2" t="s">
        <v>20</v>
      </c>
      <c r="C3" s="2" t="s">
        <v>21</v>
      </c>
      <c r="D3" s="2">
        <v>1</v>
      </c>
      <c r="E3" s="2">
        <v>2</v>
      </c>
      <c r="F3" s="2">
        <v>10</v>
      </c>
      <c r="G3" s="2">
        <f t="shared" ref="G3:G16" si="0">((D3*10)*58*30/100000)*F3</f>
        <v>1.7399999999999998</v>
      </c>
      <c r="H3" s="2">
        <v>3</v>
      </c>
      <c r="I3" s="2">
        <v>3</v>
      </c>
      <c r="J3" s="2">
        <v>99.3</v>
      </c>
      <c r="K3" s="2">
        <v>42.2</v>
      </c>
      <c r="L3" s="2">
        <v>10</v>
      </c>
      <c r="M3" s="2">
        <v>25.4</v>
      </c>
      <c r="N3" s="2">
        <v>18.66</v>
      </c>
      <c r="O3" s="2">
        <v>4.2300000000000004</v>
      </c>
      <c r="P3" s="2">
        <v>6.67</v>
      </c>
      <c r="Q3" s="2">
        <v>1.58</v>
      </c>
      <c r="R3" s="2">
        <v>5.81</v>
      </c>
      <c r="S3" s="2">
        <v>98.5</v>
      </c>
    </row>
    <row r="4" spans="1:19" x14ac:dyDescent="0.35">
      <c r="A4" s="2" t="s">
        <v>23</v>
      </c>
      <c r="B4" s="2" t="s">
        <v>20</v>
      </c>
      <c r="C4" s="2" t="s">
        <v>21</v>
      </c>
      <c r="D4" s="2">
        <v>1</v>
      </c>
      <c r="E4" s="2">
        <v>3</v>
      </c>
      <c r="F4" s="2">
        <v>10</v>
      </c>
      <c r="G4" s="2">
        <f t="shared" si="0"/>
        <v>1.7399999999999998</v>
      </c>
      <c r="H4" s="2">
        <v>3</v>
      </c>
      <c r="I4" s="2">
        <v>3</v>
      </c>
      <c r="J4" s="2">
        <v>100</v>
      </c>
      <c r="K4" s="2">
        <v>44.6</v>
      </c>
      <c r="L4" s="2">
        <v>10</v>
      </c>
      <c r="M4" s="2">
        <v>23.9</v>
      </c>
      <c r="N4" s="2">
        <v>18.53</v>
      </c>
      <c r="O4" s="2">
        <v>3.84</v>
      </c>
      <c r="P4" s="2">
        <v>6.86</v>
      </c>
      <c r="Q4" s="2">
        <v>1.76</v>
      </c>
      <c r="R4" s="2">
        <v>5.6</v>
      </c>
      <c r="S4" s="2">
        <v>94.9</v>
      </c>
    </row>
    <row r="5" spans="1:19" x14ac:dyDescent="0.35">
      <c r="A5" s="2" t="s">
        <v>24</v>
      </c>
      <c r="B5" s="2" t="s">
        <v>25</v>
      </c>
      <c r="C5" s="2" t="s">
        <v>26</v>
      </c>
      <c r="D5" s="2">
        <v>4</v>
      </c>
      <c r="E5" s="2">
        <v>1</v>
      </c>
      <c r="F5" s="2">
        <v>10</v>
      </c>
      <c r="G5" s="2">
        <f t="shared" si="0"/>
        <v>6.9599999999999991</v>
      </c>
      <c r="H5" s="2">
        <v>3</v>
      </c>
      <c r="I5" s="2">
        <v>3</v>
      </c>
      <c r="J5" s="2">
        <v>97.5</v>
      </c>
      <c r="K5" s="2">
        <v>37.200000000000003</v>
      </c>
      <c r="L5" s="2">
        <v>10</v>
      </c>
      <c r="M5" s="2">
        <v>22</v>
      </c>
      <c r="N5" s="2">
        <v>16.829999999999998</v>
      </c>
      <c r="O5" s="2">
        <v>3.47</v>
      </c>
      <c r="P5" s="2">
        <v>6.51</v>
      </c>
      <c r="Q5" s="2">
        <v>1.34</v>
      </c>
      <c r="R5" s="2">
        <v>4.8099999999999996</v>
      </c>
      <c r="S5" s="2">
        <v>81.5</v>
      </c>
    </row>
    <row r="6" spans="1:19" x14ac:dyDescent="0.35">
      <c r="A6" s="2" t="s">
        <v>27</v>
      </c>
      <c r="B6" s="2" t="s">
        <v>25</v>
      </c>
      <c r="C6" s="2" t="s">
        <v>26</v>
      </c>
      <c r="D6" s="2">
        <v>4</v>
      </c>
      <c r="E6" s="2">
        <v>2</v>
      </c>
      <c r="F6" s="2">
        <v>10</v>
      </c>
      <c r="G6" s="2">
        <f t="shared" si="0"/>
        <v>6.9599999999999991</v>
      </c>
      <c r="H6" s="2">
        <v>3</v>
      </c>
      <c r="I6" s="2">
        <v>3</v>
      </c>
      <c r="J6" s="2">
        <v>87</v>
      </c>
      <c r="K6" s="2">
        <v>36.4</v>
      </c>
      <c r="L6" s="2">
        <v>9</v>
      </c>
      <c r="M6" s="2">
        <v>22.8</v>
      </c>
      <c r="N6" s="2">
        <v>16.71</v>
      </c>
      <c r="O6" s="2">
        <v>3.45</v>
      </c>
      <c r="P6" s="2">
        <v>6.63</v>
      </c>
      <c r="Q6" s="2">
        <v>1.4</v>
      </c>
      <c r="R6" s="2">
        <v>4.8499999999999996</v>
      </c>
      <c r="S6" s="2">
        <v>82.2</v>
      </c>
    </row>
    <row r="7" spans="1:19" x14ac:dyDescent="0.35">
      <c r="A7" s="2" t="s">
        <v>28</v>
      </c>
      <c r="B7" s="2" t="s">
        <v>25</v>
      </c>
      <c r="C7" s="2" t="s">
        <v>26</v>
      </c>
      <c r="D7" s="2">
        <v>4</v>
      </c>
      <c r="E7" s="2">
        <v>3</v>
      </c>
      <c r="F7" s="2">
        <v>10</v>
      </c>
      <c r="G7" s="2">
        <f t="shared" si="0"/>
        <v>6.9599999999999991</v>
      </c>
      <c r="H7" s="2">
        <v>3</v>
      </c>
      <c r="I7" s="2">
        <v>3</v>
      </c>
      <c r="J7" s="2">
        <v>94.6</v>
      </c>
      <c r="K7" s="2">
        <v>37.1</v>
      </c>
      <c r="L7" s="2">
        <v>9</v>
      </c>
      <c r="M7" s="2">
        <v>22.7</v>
      </c>
      <c r="N7" s="2">
        <v>16.690000000000001</v>
      </c>
      <c r="O7" s="2">
        <v>3.84</v>
      </c>
      <c r="P7" s="2">
        <v>6.54</v>
      </c>
      <c r="Q7" s="2">
        <v>1.58</v>
      </c>
      <c r="R7" s="2">
        <v>5.42</v>
      </c>
      <c r="S7" s="2">
        <v>91.9</v>
      </c>
    </row>
    <row r="8" spans="1:19" x14ac:dyDescent="0.35">
      <c r="A8" s="2" t="s">
        <v>29</v>
      </c>
      <c r="B8" s="2" t="s">
        <v>30</v>
      </c>
      <c r="C8" s="2" t="s">
        <v>31</v>
      </c>
      <c r="D8" s="2">
        <v>8</v>
      </c>
      <c r="E8" s="2">
        <v>1</v>
      </c>
      <c r="F8" s="2">
        <v>10</v>
      </c>
      <c r="G8" s="2">
        <f t="shared" si="0"/>
        <v>13.919999999999998</v>
      </c>
      <c r="H8" s="2">
        <v>3</v>
      </c>
      <c r="I8" s="2">
        <v>3</v>
      </c>
      <c r="J8" s="2">
        <v>86.2</v>
      </c>
      <c r="K8" s="2">
        <v>30.4</v>
      </c>
      <c r="L8" s="2">
        <v>8</v>
      </c>
      <c r="M8" s="2">
        <v>19.3</v>
      </c>
      <c r="N8" s="2">
        <v>13.2</v>
      </c>
      <c r="O8" s="2">
        <v>3.73</v>
      </c>
      <c r="P8" s="2">
        <v>4.88</v>
      </c>
      <c r="Q8" s="2">
        <v>1.1499999999999999</v>
      </c>
      <c r="R8" s="2">
        <v>4.88</v>
      </c>
      <c r="S8" s="2">
        <v>82.7</v>
      </c>
    </row>
    <row r="9" spans="1:19" x14ac:dyDescent="0.35">
      <c r="A9" s="2" t="s">
        <v>32</v>
      </c>
      <c r="B9" s="2" t="s">
        <v>30</v>
      </c>
      <c r="C9" s="2" t="s">
        <v>31</v>
      </c>
      <c r="D9" s="2">
        <v>8</v>
      </c>
      <c r="E9" s="2">
        <v>2</v>
      </c>
      <c r="F9" s="2">
        <v>10</v>
      </c>
      <c r="G9" s="2">
        <f t="shared" si="0"/>
        <v>13.919999999999998</v>
      </c>
      <c r="H9" s="2">
        <v>3</v>
      </c>
      <c r="I9" s="2">
        <v>3</v>
      </c>
      <c r="J9" s="2">
        <v>90.4</v>
      </c>
      <c r="K9" s="2">
        <v>34.700000000000003</v>
      </c>
      <c r="L9" s="2">
        <v>9</v>
      </c>
      <c r="M9" s="2">
        <v>19.8</v>
      </c>
      <c r="N9" s="2">
        <v>14.88</v>
      </c>
      <c r="O9" s="2">
        <v>3.13</v>
      </c>
      <c r="P9" s="2">
        <v>4.6100000000000003</v>
      </c>
      <c r="Q9" s="2">
        <v>1.22</v>
      </c>
      <c r="R9" s="2">
        <v>4.3499999999999996</v>
      </c>
      <c r="S9" s="2">
        <v>73.7</v>
      </c>
    </row>
    <row r="10" spans="1:19" x14ac:dyDescent="0.35">
      <c r="A10" s="2" t="s">
        <v>33</v>
      </c>
      <c r="B10" s="2" t="s">
        <v>30</v>
      </c>
      <c r="C10" s="2" t="s">
        <v>31</v>
      </c>
      <c r="D10" s="2">
        <v>8</v>
      </c>
      <c r="E10" s="2">
        <v>3</v>
      </c>
      <c r="F10" s="2">
        <v>10</v>
      </c>
      <c r="G10" s="2">
        <f t="shared" si="0"/>
        <v>13.919999999999998</v>
      </c>
      <c r="H10" s="2">
        <v>3</v>
      </c>
      <c r="I10" s="2">
        <v>3</v>
      </c>
      <c r="J10" s="2">
        <v>91</v>
      </c>
      <c r="K10" s="2">
        <v>29</v>
      </c>
      <c r="L10" s="2">
        <v>8</v>
      </c>
      <c r="M10" s="2">
        <v>19.100000000000001</v>
      </c>
      <c r="N10" s="2">
        <v>13.13</v>
      </c>
      <c r="O10" s="2">
        <v>3.33</v>
      </c>
      <c r="P10" s="2">
        <v>5.51</v>
      </c>
      <c r="Q10" s="2">
        <v>1.56</v>
      </c>
      <c r="R10" s="2">
        <v>4.8899999999999997</v>
      </c>
      <c r="S10" s="2">
        <v>82.9</v>
      </c>
    </row>
    <row r="11" spans="1:19" x14ac:dyDescent="0.35">
      <c r="A11" s="2" t="s">
        <v>34</v>
      </c>
      <c r="B11" s="2" t="s">
        <v>35</v>
      </c>
      <c r="C11" s="2" t="s">
        <v>36</v>
      </c>
      <c r="D11" s="2">
        <v>12</v>
      </c>
      <c r="E11" s="2">
        <v>1</v>
      </c>
      <c r="F11" s="2">
        <v>10</v>
      </c>
      <c r="G11" s="2">
        <f t="shared" si="0"/>
        <v>20.880000000000003</v>
      </c>
      <c r="H11" s="2">
        <v>3</v>
      </c>
      <c r="I11" s="2">
        <v>2</v>
      </c>
      <c r="J11" s="2">
        <v>83.2</v>
      </c>
      <c r="K11" s="2">
        <v>24.8</v>
      </c>
      <c r="L11" s="2">
        <v>7</v>
      </c>
      <c r="M11" s="2">
        <v>14.8</v>
      </c>
      <c r="N11" s="2">
        <v>11.8</v>
      </c>
      <c r="O11" s="2">
        <v>2.41</v>
      </c>
      <c r="P11" s="2">
        <v>4.22</v>
      </c>
      <c r="Q11" s="2">
        <v>1.1299999999999999</v>
      </c>
      <c r="R11" s="2">
        <v>3.54</v>
      </c>
      <c r="S11" s="2">
        <v>60</v>
      </c>
    </row>
    <row r="12" spans="1:19" x14ac:dyDescent="0.35">
      <c r="A12" s="2" t="s">
        <v>37</v>
      </c>
      <c r="B12" s="2" t="s">
        <v>35</v>
      </c>
      <c r="C12" s="2" t="s">
        <v>36</v>
      </c>
      <c r="D12" s="2">
        <v>12</v>
      </c>
      <c r="E12" s="2">
        <v>2</v>
      </c>
      <c r="F12" s="2">
        <v>10</v>
      </c>
      <c r="G12" s="2">
        <f t="shared" si="0"/>
        <v>20.880000000000003</v>
      </c>
      <c r="H12" s="2">
        <v>3</v>
      </c>
      <c r="I12" s="2">
        <v>2</v>
      </c>
      <c r="J12" s="2">
        <v>79.099999999999994</v>
      </c>
      <c r="K12" s="2">
        <v>25.5</v>
      </c>
      <c r="L12" s="2">
        <v>6</v>
      </c>
      <c r="M12" s="2">
        <v>14.5</v>
      </c>
      <c r="N12" s="2">
        <v>10.28</v>
      </c>
      <c r="O12" s="2">
        <v>2.65</v>
      </c>
      <c r="P12" s="2">
        <v>4.79</v>
      </c>
      <c r="Q12" s="2">
        <v>1.04</v>
      </c>
      <c r="R12" s="2">
        <v>3.69</v>
      </c>
      <c r="S12" s="2">
        <v>62.5</v>
      </c>
    </row>
    <row r="13" spans="1:19" x14ac:dyDescent="0.35">
      <c r="A13" s="2" t="s">
        <v>38</v>
      </c>
      <c r="B13" s="2" t="s">
        <v>35</v>
      </c>
      <c r="C13" s="2" t="s">
        <v>36</v>
      </c>
      <c r="D13" s="2">
        <v>12</v>
      </c>
      <c r="E13" s="2">
        <v>3</v>
      </c>
      <c r="F13" s="2">
        <v>10</v>
      </c>
      <c r="G13" s="2">
        <f t="shared" si="0"/>
        <v>20.880000000000003</v>
      </c>
      <c r="H13" s="2">
        <v>3</v>
      </c>
      <c r="I13" s="2">
        <v>2</v>
      </c>
      <c r="J13" s="2">
        <v>82.1</v>
      </c>
      <c r="K13" s="2">
        <v>26.4</v>
      </c>
      <c r="L13" s="2">
        <v>8</v>
      </c>
      <c r="M13" s="2">
        <v>16.8</v>
      </c>
      <c r="N13" s="2">
        <v>11.12</v>
      </c>
      <c r="O13" s="2">
        <v>2.2999999999999998</v>
      </c>
      <c r="P13" s="2">
        <v>4.66</v>
      </c>
      <c r="Q13" s="2">
        <v>1.0900000000000001</v>
      </c>
      <c r="R13" s="2">
        <v>3.39</v>
      </c>
      <c r="S13" s="2">
        <v>57.5</v>
      </c>
    </row>
    <row r="14" spans="1:19" x14ac:dyDescent="0.35">
      <c r="A14" s="2" t="s">
        <v>39</v>
      </c>
      <c r="B14" s="2" t="s">
        <v>40</v>
      </c>
      <c r="C14" s="2" t="s">
        <v>41</v>
      </c>
      <c r="D14" s="2">
        <v>16</v>
      </c>
      <c r="E14" s="2">
        <v>1</v>
      </c>
      <c r="F14" s="2">
        <v>10</v>
      </c>
      <c r="G14" s="2">
        <f t="shared" si="0"/>
        <v>27.839999999999996</v>
      </c>
      <c r="H14" s="2">
        <v>3</v>
      </c>
      <c r="I14" s="2">
        <v>2</v>
      </c>
      <c r="J14" s="2">
        <v>78.2</v>
      </c>
      <c r="K14" s="2">
        <v>20.2</v>
      </c>
      <c r="L14" s="2">
        <v>8</v>
      </c>
      <c r="M14" s="2">
        <v>12.3</v>
      </c>
      <c r="N14" s="2">
        <v>9.84</v>
      </c>
      <c r="O14" s="2">
        <v>1.98</v>
      </c>
      <c r="P14" s="2">
        <v>3.02</v>
      </c>
      <c r="Q14" s="2">
        <v>0.66</v>
      </c>
      <c r="R14" s="2">
        <v>2.64</v>
      </c>
      <c r="S14" s="2">
        <v>44.7</v>
      </c>
    </row>
    <row r="15" spans="1:19" x14ac:dyDescent="0.35">
      <c r="A15" s="2" t="s">
        <v>42</v>
      </c>
      <c r="B15" s="2" t="s">
        <v>40</v>
      </c>
      <c r="C15" s="2" t="s">
        <v>41</v>
      </c>
      <c r="D15" s="2">
        <v>16</v>
      </c>
      <c r="E15" s="2">
        <v>2</v>
      </c>
      <c r="F15" s="2">
        <v>10</v>
      </c>
      <c r="G15" s="2">
        <f t="shared" si="0"/>
        <v>27.839999999999996</v>
      </c>
      <c r="H15" s="2">
        <v>3</v>
      </c>
      <c r="I15" s="2">
        <v>2</v>
      </c>
      <c r="J15" s="2">
        <v>74</v>
      </c>
      <c r="K15" s="2">
        <v>23.1</v>
      </c>
      <c r="L15" s="2">
        <v>7</v>
      </c>
      <c r="M15" s="2">
        <v>13.6</v>
      </c>
      <c r="N15" s="2">
        <v>5.87</v>
      </c>
      <c r="O15" s="2">
        <v>2.13</v>
      </c>
      <c r="P15" s="2">
        <v>3.5</v>
      </c>
      <c r="Q15" s="2">
        <v>0.73</v>
      </c>
      <c r="R15" s="2">
        <v>2.86</v>
      </c>
      <c r="S15" s="2">
        <v>48.5</v>
      </c>
    </row>
    <row r="16" spans="1:19" x14ac:dyDescent="0.35">
      <c r="A16" s="2" t="s">
        <v>43</v>
      </c>
      <c r="B16" s="2" t="s">
        <v>40</v>
      </c>
      <c r="C16" s="2" t="s">
        <v>41</v>
      </c>
      <c r="D16" s="2">
        <v>16</v>
      </c>
      <c r="E16" s="2">
        <v>3</v>
      </c>
      <c r="F16" s="2">
        <v>10</v>
      </c>
      <c r="G16" s="2">
        <f t="shared" si="0"/>
        <v>27.839999999999996</v>
      </c>
      <c r="H16" s="2">
        <v>3</v>
      </c>
      <c r="I16" s="2">
        <v>2</v>
      </c>
      <c r="J16" s="2">
        <v>72.599999999999994</v>
      </c>
      <c r="K16" s="2">
        <v>20.2</v>
      </c>
      <c r="L16" s="2">
        <v>8</v>
      </c>
      <c r="M16" s="2">
        <v>11.5</v>
      </c>
      <c r="N16" s="2">
        <v>7.82</v>
      </c>
      <c r="O16" s="2">
        <v>2.29</v>
      </c>
      <c r="P16" s="2">
        <v>3.05</v>
      </c>
      <c r="Q16" s="2">
        <v>0.76</v>
      </c>
      <c r="R16" s="2">
        <v>3.05</v>
      </c>
      <c r="S16" s="2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PMYLS</cp:lastModifiedBy>
  <dcterms:created xsi:type="dcterms:W3CDTF">2026-08-14T19:24:33Z</dcterms:created>
  <dcterms:modified xsi:type="dcterms:W3CDTF">2026-08-14T19:40:35Z</dcterms:modified>
</cp:coreProperties>
</file>